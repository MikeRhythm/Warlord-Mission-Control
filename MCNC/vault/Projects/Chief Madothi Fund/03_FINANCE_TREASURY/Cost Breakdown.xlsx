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f0d6f889b16755/Documents/Madothi Children Fund/"/>
    </mc:Choice>
  </mc:AlternateContent>
  <xr:revisionPtr revIDLastSave="492" documentId="8_{A87FF487-737E-486C-A44A-87B848F5AD64}" xr6:coauthVersionLast="47" xr6:coauthVersionMax="47" xr10:uidLastSave="{DA2F2CCA-D300-43A9-B042-FB5B478ABE15}"/>
  <bookViews>
    <workbookView xWindow="-108" yWindow="-108" windowWidth="23256" windowHeight="12456" xr2:uid="{B92AA19E-FAD4-45A6-BBF0-115A355E2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G24" i="1"/>
  <c r="F24" i="1"/>
  <c r="E24" i="1"/>
  <c r="D24" i="1"/>
  <c r="H23" i="1"/>
  <c r="G23" i="1"/>
  <c r="F23" i="1"/>
  <c r="E23" i="1"/>
  <c r="D23" i="1"/>
  <c r="H22" i="1"/>
  <c r="G22" i="1"/>
  <c r="F22" i="1"/>
  <c r="E22" i="1"/>
  <c r="D22" i="1"/>
  <c r="H21" i="1"/>
  <c r="G21" i="1"/>
  <c r="F21" i="1"/>
  <c r="E21" i="1"/>
  <c r="D21" i="1"/>
  <c r="H20" i="1"/>
  <c r="G20" i="1"/>
  <c r="F20" i="1"/>
  <c r="E20" i="1"/>
  <c r="D20" i="1"/>
  <c r="H19" i="1"/>
  <c r="G19" i="1"/>
  <c r="F19" i="1"/>
  <c r="E19" i="1"/>
  <c r="D19" i="1"/>
  <c r="H18" i="1"/>
  <c r="G18" i="1"/>
  <c r="F18" i="1"/>
  <c r="E18" i="1"/>
  <c r="D18" i="1"/>
  <c r="H17" i="1"/>
  <c r="H11" i="1"/>
  <c r="H10" i="1"/>
  <c r="H9" i="1"/>
  <c r="H8" i="1"/>
  <c r="H7" i="1"/>
  <c r="G17" i="1"/>
  <c r="F17" i="1"/>
  <c r="E17" i="1"/>
  <c r="E8" i="1"/>
  <c r="F8" i="1"/>
  <c r="G8" i="1"/>
  <c r="E9" i="1"/>
  <c r="F9" i="1"/>
  <c r="G9" i="1"/>
  <c r="E10" i="1"/>
  <c r="F10" i="1"/>
  <c r="G10" i="1"/>
  <c r="E11" i="1"/>
  <c r="F11" i="1"/>
  <c r="G11" i="1"/>
  <c r="G7" i="1"/>
  <c r="F7" i="1"/>
  <c r="E7" i="1"/>
  <c r="C25" i="1"/>
  <c r="C27" i="1" s="1"/>
  <c r="C37" i="1" s="1"/>
  <c r="D17" i="1"/>
  <c r="D8" i="1"/>
  <c r="D9" i="1"/>
  <c r="D10" i="1"/>
  <c r="D11" i="1"/>
  <c r="D7" i="1"/>
  <c r="C12" i="1"/>
  <c r="C13" i="1" s="1"/>
  <c r="C32" i="1" s="1"/>
  <c r="C36" i="1" l="1"/>
  <c r="C31" i="1"/>
  <c r="C41" i="1" s="1"/>
  <c r="C28" i="1"/>
  <c r="C38" i="1" s="1"/>
  <c r="C42" i="1" s="1"/>
  <c r="C26" i="1"/>
  <c r="C35" i="1" s="1"/>
  <c r="H25" i="1"/>
  <c r="H36" i="1" s="1"/>
  <c r="H12" i="1"/>
  <c r="E25" i="1"/>
  <c r="E36" i="1" s="1"/>
  <c r="D12" i="1"/>
  <c r="D25" i="1"/>
  <c r="D36" i="1" s="1"/>
  <c r="F25" i="1"/>
  <c r="F36" i="1" s="1"/>
  <c r="G12" i="1"/>
  <c r="F12" i="1"/>
  <c r="G25" i="1"/>
  <c r="G36" i="1" s="1"/>
  <c r="E12" i="1"/>
  <c r="D13" i="1" l="1"/>
  <c r="D32" i="1" s="1"/>
  <c r="D31" i="1"/>
  <c r="E13" i="1"/>
  <c r="E32" i="1" s="1"/>
  <c r="E31" i="1"/>
  <c r="F13" i="1"/>
  <c r="F32" i="1" s="1"/>
  <c r="F31" i="1"/>
  <c r="H13" i="1"/>
  <c r="H32" i="1" s="1"/>
  <c r="H31" i="1"/>
  <c r="G13" i="1"/>
  <c r="G32" i="1" s="1"/>
  <c r="G31" i="1"/>
  <c r="E26" i="1"/>
  <c r="E35" i="1" s="1"/>
  <c r="E27" i="1"/>
  <c r="E37" i="1" s="1"/>
  <c r="E41" i="1" s="1"/>
  <c r="D27" i="1"/>
  <c r="D37" i="1" s="1"/>
  <c r="D26" i="1"/>
  <c r="D35" i="1" s="1"/>
  <c r="G27" i="1"/>
  <c r="G37" i="1" s="1"/>
  <c r="G26" i="1"/>
  <c r="G35" i="1" s="1"/>
  <c r="H26" i="1"/>
  <c r="H35" i="1" s="1"/>
  <c r="H27" i="1"/>
  <c r="H37" i="1" s="1"/>
  <c r="F27" i="1"/>
  <c r="F37" i="1" s="1"/>
  <c r="F26" i="1"/>
  <c r="F35" i="1" s="1"/>
  <c r="G41" i="1" l="1"/>
  <c r="D41" i="1"/>
  <c r="F41" i="1"/>
  <c r="H41" i="1"/>
  <c r="D28" i="1"/>
  <c r="D38" i="1" s="1"/>
  <c r="D42" i="1" s="1"/>
  <c r="H28" i="1"/>
  <c r="H38" i="1" s="1"/>
  <c r="H42" i="1" s="1"/>
  <c r="G28" i="1"/>
  <c r="G38" i="1" s="1"/>
  <c r="G42" i="1" s="1"/>
  <c r="E28" i="1"/>
  <c r="E38" i="1" s="1"/>
  <c r="E42" i="1" s="1"/>
  <c r="F28" i="1"/>
  <c r="F38" i="1" s="1"/>
  <c r="F42" i="1" s="1"/>
</calcChain>
</file>

<file path=xl/sharedStrings.xml><?xml version="1.0" encoding="utf-8"?>
<sst xmlns="http://schemas.openxmlformats.org/spreadsheetml/2006/main" count="72" uniqueCount="41">
  <si>
    <t>School Fee's per Child</t>
  </si>
  <si>
    <t>Item</t>
  </si>
  <si>
    <t>Mkw</t>
  </si>
  <si>
    <t>Rand's</t>
  </si>
  <si>
    <t>USD$</t>
  </si>
  <si>
    <t>UK£</t>
  </si>
  <si>
    <t>Euro</t>
  </si>
  <si>
    <t>Euro€</t>
  </si>
  <si>
    <t>Extra computer lessons</t>
  </si>
  <si>
    <t>Exam Fee's</t>
  </si>
  <si>
    <t>Uniform</t>
  </si>
  <si>
    <t>Pen's, Workbook's etc.</t>
  </si>
  <si>
    <t>School Items</t>
  </si>
  <si>
    <t>Sima (Maize)</t>
  </si>
  <si>
    <t>R</t>
  </si>
  <si>
    <t>$</t>
  </si>
  <si>
    <t>Pound</t>
  </si>
  <si>
    <t>Cost Breakdown Per Child</t>
  </si>
  <si>
    <t>Fish/nYama</t>
  </si>
  <si>
    <t xml:space="preserve">Totals Per Year: </t>
  </si>
  <si>
    <t xml:space="preserve">Totals Per Day: </t>
  </si>
  <si>
    <t>Relish Onions/Tomatoes)</t>
  </si>
  <si>
    <t>Rice</t>
  </si>
  <si>
    <t>Firewood</t>
  </si>
  <si>
    <t>Sugar</t>
  </si>
  <si>
    <t>Milk</t>
  </si>
  <si>
    <t>Oil/Salt</t>
  </si>
  <si>
    <t xml:space="preserve">Totals Per Term: </t>
  </si>
  <si>
    <t xml:space="preserve">Totals Per Month: </t>
  </si>
  <si>
    <t>AUS$</t>
  </si>
  <si>
    <t>*</t>
  </si>
  <si>
    <t>Exchange Rate as of Oct 2025</t>
  </si>
  <si>
    <t>Feeding Program: p/m</t>
  </si>
  <si>
    <t>To Feed</t>
  </si>
  <si>
    <t>To Educate</t>
  </si>
  <si>
    <r>
      <t xml:space="preserve">1 Child </t>
    </r>
    <r>
      <rPr>
        <sz val="12"/>
        <color theme="1"/>
        <rFont val="Aptos Narrow"/>
        <family val="2"/>
        <scheme val="minor"/>
      </rPr>
      <t>for</t>
    </r>
    <r>
      <rPr>
        <b/>
        <sz val="12"/>
        <color theme="1"/>
        <rFont val="Aptos Narrow"/>
        <family val="2"/>
        <scheme val="minor"/>
      </rPr>
      <t xml:space="preserve"> 1 Day</t>
    </r>
  </si>
  <si>
    <r>
      <t xml:space="preserve">1 Child </t>
    </r>
    <r>
      <rPr>
        <sz val="12"/>
        <color theme="1"/>
        <rFont val="Aptos Narrow"/>
        <family val="2"/>
        <scheme val="minor"/>
      </rPr>
      <t>for</t>
    </r>
    <r>
      <rPr>
        <b/>
        <sz val="12"/>
        <color theme="1"/>
        <rFont val="Aptos Narrow"/>
        <family val="2"/>
        <scheme val="minor"/>
      </rPr>
      <t xml:space="preserve"> 1 Month</t>
    </r>
  </si>
  <si>
    <r>
      <t xml:space="preserve">1 Child </t>
    </r>
    <r>
      <rPr>
        <sz val="12"/>
        <color theme="1"/>
        <rFont val="Aptos Narrow"/>
        <family val="2"/>
        <scheme val="minor"/>
      </rPr>
      <t>for</t>
    </r>
    <r>
      <rPr>
        <b/>
        <sz val="12"/>
        <color theme="1"/>
        <rFont val="Aptos Narrow"/>
        <family val="2"/>
        <scheme val="minor"/>
      </rPr>
      <t xml:space="preserve"> 1 Term</t>
    </r>
  </si>
  <si>
    <r>
      <t xml:space="preserve">1 Child </t>
    </r>
    <r>
      <rPr>
        <sz val="12"/>
        <color theme="1"/>
        <rFont val="Aptos Narrow"/>
        <family val="2"/>
        <scheme val="minor"/>
      </rPr>
      <t>for</t>
    </r>
    <r>
      <rPr>
        <b/>
        <sz val="12"/>
        <color theme="1"/>
        <rFont val="Aptos Narrow"/>
        <family val="2"/>
        <scheme val="minor"/>
      </rPr>
      <t xml:space="preserve"> 1 Year</t>
    </r>
  </si>
  <si>
    <r>
      <t xml:space="preserve">To Feed </t>
    </r>
    <r>
      <rPr>
        <sz val="14"/>
        <color theme="1"/>
        <rFont val="Aptos Narrow"/>
        <family val="2"/>
        <scheme val="minor"/>
      </rPr>
      <t xml:space="preserve">&amp; </t>
    </r>
    <r>
      <rPr>
        <b/>
        <sz val="14"/>
        <color theme="1"/>
        <rFont val="Aptos Narrow"/>
        <family val="2"/>
        <scheme val="minor"/>
      </rPr>
      <t>Educate</t>
    </r>
  </si>
  <si>
    <t>MWK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</si>
</sst>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R&quot;#,##0"/>
    <numFmt numFmtId="165" formatCode="[$$-409]#,##0"/>
    <numFmt numFmtId="166" formatCode="[$£-809]#,##0"/>
    <numFmt numFmtId="167" formatCode="[$€-2]\ #,##0"/>
    <numFmt numFmtId="168" formatCode="[$$-409]#,##0.00"/>
    <numFmt numFmtId="169" formatCode="[$£-809]#,##0.00"/>
    <numFmt numFmtId="170" formatCode="[$€-2]\ #,##0.00"/>
    <numFmt numFmtId="171" formatCode="[$MWK]\ #,##0"/>
    <numFmt numFmtId="172" formatCode="[$$-540A]#,##0"/>
    <numFmt numFmtId="173" formatCode="[$$-C09]#,##0"/>
    <numFmt numFmtId="174" formatCode="0.00000"/>
    <numFmt numFmtId="175" formatCode="&quot;R&quot;#,##0.00"/>
    <numFmt numFmtId="176" formatCode="[$$-C09]#,##0.00"/>
    <numFmt numFmtId="177" formatCode="[$$-540A]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0" fillId="0" borderId="10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71" fontId="1" fillId="5" borderId="14" xfId="0" applyNumberFormat="1" applyFont="1" applyFill="1" applyBorder="1" applyAlignment="1">
      <alignment horizontal="center" vertical="center"/>
    </xf>
    <xf numFmtId="164" fontId="1" fillId="5" borderId="15" xfId="0" applyNumberFormat="1" applyFont="1" applyFill="1" applyBorder="1" applyAlignment="1">
      <alignment horizontal="center" vertical="center"/>
    </xf>
    <xf numFmtId="167" fontId="0" fillId="0" borderId="22" xfId="0" applyNumberFormat="1" applyBorder="1" applyAlignment="1">
      <alignment horizontal="center" vertical="center"/>
    </xf>
    <xf numFmtId="167" fontId="0" fillId="0" borderId="15" xfId="0" applyNumberFormat="1" applyBorder="1" applyAlignment="1">
      <alignment horizontal="center" vertical="center"/>
    </xf>
    <xf numFmtId="167" fontId="0" fillId="0" borderId="18" xfId="0" applyNumberFormat="1" applyBorder="1" applyAlignment="1">
      <alignment horizontal="center" vertical="center"/>
    </xf>
    <xf numFmtId="170" fontId="0" fillId="0" borderId="22" xfId="0" applyNumberFormat="1" applyBorder="1" applyAlignment="1">
      <alignment horizontal="center" vertical="center"/>
    </xf>
    <xf numFmtId="170" fontId="0" fillId="0" borderId="15" xfId="0" applyNumberFormat="1" applyBorder="1" applyAlignment="1">
      <alignment horizontal="center" vertical="center"/>
    </xf>
    <xf numFmtId="173" fontId="0" fillId="0" borderId="19" xfId="0" applyNumberFormat="1" applyBorder="1" applyAlignment="1">
      <alignment horizontal="center" vertical="center"/>
    </xf>
    <xf numFmtId="173" fontId="0" fillId="0" borderId="20" xfId="0" applyNumberFormat="1" applyBorder="1" applyAlignment="1">
      <alignment horizontal="center" vertical="center"/>
    </xf>
    <xf numFmtId="173" fontId="1" fillId="5" borderId="19" xfId="0" applyNumberFormat="1" applyFont="1" applyFill="1" applyBorder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4" fontId="2" fillId="0" borderId="0" xfId="0" applyNumberFormat="1" applyFont="1" applyAlignment="1">
      <alignment horizontal="center" vertical="center"/>
    </xf>
    <xf numFmtId="171" fontId="1" fillId="5" borderId="2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0" fontId="5" fillId="4" borderId="2" xfId="0" applyFont="1" applyFill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171" fontId="1" fillId="4" borderId="17" xfId="0" applyNumberFormat="1" applyFont="1" applyFill="1" applyBorder="1" applyAlignment="1">
      <alignment horizontal="center" vertical="center"/>
    </xf>
    <xf numFmtId="164" fontId="1" fillId="4" borderId="18" xfId="0" applyNumberFormat="1" applyFont="1" applyFill="1" applyBorder="1" applyAlignment="1">
      <alignment horizontal="center" vertical="center"/>
    </xf>
    <xf numFmtId="172" fontId="1" fillId="4" borderId="18" xfId="0" applyNumberFormat="1" applyFont="1" applyFill="1" applyBorder="1" applyAlignment="1">
      <alignment horizontal="center" vertical="center"/>
    </xf>
    <xf numFmtId="166" fontId="1" fillId="4" borderId="18" xfId="0" applyNumberFormat="1" applyFont="1" applyFill="1" applyBorder="1" applyAlignment="1">
      <alignment horizontal="center" vertical="center"/>
    </xf>
    <xf numFmtId="167" fontId="1" fillId="4" borderId="18" xfId="0" applyNumberFormat="1" applyFont="1" applyFill="1" applyBorder="1" applyAlignment="1">
      <alignment horizontal="center" vertical="center"/>
    </xf>
    <xf numFmtId="173" fontId="1" fillId="4" borderId="20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164" fontId="1" fillId="5" borderId="26" xfId="0" applyNumberFormat="1" applyFont="1" applyFill="1" applyBorder="1" applyAlignment="1">
      <alignment horizontal="center" vertical="center"/>
    </xf>
    <xf numFmtId="172" fontId="1" fillId="5" borderId="26" xfId="0" applyNumberFormat="1" applyFont="1" applyFill="1" applyBorder="1" applyAlignment="1">
      <alignment horizontal="center" vertical="center"/>
    </xf>
    <xf numFmtId="166" fontId="1" fillId="5" borderId="26" xfId="0" applyNumberFormat="1" applyFont="1" applyFill="1" applyBorder="1" applyAlignment="1">
      <alignment horizontal="center" vertical="center"/>
    </xf>
    <xf numFmtId="167" fontId="1" fillId="5" borderId="26" xfId="0" applyNumberFormat="1" applyFont="1" applyFill="1" applyBorder="1" applyAlignment="1">
      <alignment horizontal="center" vertical="center"/>
    </xf>
    <xf numFmtId="173" fontId="1" fillId="5" borderId="27" xfId="0" applyNumberFormat="1" applyFont="1" applyFill="1" applyBorder="1" applyAlignment="1">
      <alignment horizontal="center" vertical="center"/>
    </xf>
    <xf numFmtId="171" fontId="1" fillId="6" borderId="25" xfId="0" applyNumberFormat="1" applyFont="1" applyFill="1" applyBorder="1" applyAlignment="1">
      <alignment horizontal="center" vertical="center"/>
    </xf>
    <xf numFmtId="164" fontId="1" fillId="6" borderId="26" xfId="0" applyNumberFormat="1" applyFont="1" applyFill="1" applyBorder="1" applyAlignment="1">
      <alignment horizontal="center" vertical="center"/>
    </xf>
    <xf numFmtId="172" fontId="1" fillId="6" borderId="26" xfId="0" applyNumberFormat="1" applyFont="1" applyFill="1" applyBorder="1" applyAlignment="1">
      <alignment horizontal="center" vertical="center"/>
    </xf>
    <xf numFmtId="166" fontId="1" fillId="6" borderId="26" xfId="0" applyNumberFormat="1" applyFont="1" applyFill="1" applyBorder="1" applyAlignment="1">
      <alignment horizontal="center" vertical="center"/>
    </xf>
    <xf numFmtId="167" fontId="1" fillId="6" borderId="26" xfId="0" applyNumberFormat="1" applyFont="1" applyFill="1" applyBorder="1" applyAlignment="1">
      <alignment horizontal="center" vertical="center"/>
    </xf>
    <xf numFmtId="173" fontId="1" fillId="6" borderId="27" xfId="0" applyNumberFormat="1" applyFont="1" applyFill="1" applyBorder="1" applyAlignment="1">
      <alignment horizontal="center" vertical="center"/>
    </xf>
    <xf numFmtId="171" fontId="1" fillId="5" borderId="6" xfId="0" applyNumberFormat="1" applyFont="1" applyFill="1" applyBorder="1" applyAlignment="1">
      <alignment horizontal="center" vertical="center"/>
    </xf>
    <xf numFmtId="164" fontId="1" fillId="5" borderId="7" xfId="0" applyNumberFormat="1" applyFont="1" applyFill="1" applyBorder="1" applyAlignment="1">
      <alignment horizontal="center" vertical="center"/>
    </xf>
    <xf numFmtId="165" fontId="1" fillId="5" borderId="7" xfId="0" applyNumberFormat="1" applyFont="1" applyFill="1" applyBorder="1" applyAlignment="1">
      <alignment horizontal="center" vertical="center"/>
    </xf>
    <xf numFmtId="166" fontId="1" fillId="5" borderId="7" xfId="0" applyNumberFormat="1" applyFont="1" applyFill="1" applyBorder="1" applyAlignment="1">
      <alignment horizontal="center" vertical="center"/>
    </xf>
    <xf numFmtId="167" fontId="1" fillId="5" borderId="7" xfId="0" applyNumberFormat="1" applyFont="1" applyFill="1" applyBorder="1" applyAlignment="1">
      <alignment horizontal="center" vertical="center"/>
    </xf>
    <xf numFmtId="173" fontId="1" fillId="5" borderId="21" xfId="0" applyNumberFormat="1" applyFont="1" applyFill="1" applyBorder="1" applyAlignment="1">
      <alignment horizontal="center" vertical="center"/>
    </xf>
    <xf numFmtId="165" fontId="1" fillId="5" borderId="15" xfId="0" applyNumberFormat="1" applyFont="1" applyFill="1" applyBorder="1" applyAlignment="1">
      <alignment horizontal="center" vertical="center"/>
    </xf>
    <xf numFmtId="166" fontId="1" fillId="5" borderId="15" xfId="0" applyNumberFormat="1" applyFont="1" applyFill="1" applyBorder="1" applyAlignment="1">
      <alignment horizontal="center" vertical="center"/>
    </xf>
    <xf numFmtId="167" fontId="1" fillId="5" borderId="15" xfId="0" applyNumberFormat="1" applyFont="1" applyFill="1" applyBorder="1" applyAlignment="1">
      <alignment horizontal="center" vertical="center"/>
    </xf>
    <xf numFmtId="172" fontId="1" fillId="5" borderId="7" xfId="0" applyNumberFormat="1" applyFont="1" applyFill="1" applyBorder="1" applyAlignment="1">
      <alignment horizontal="center" vertical="center"/>
    </xf>
    <xf numFmtId="171" fontId="1" fillId="4" borderId="12" xfId="0" applyNumberFormat="1" applyFont="1" applyFill="1" applyBorder="1" applyAlignment="1">
      <alignment horizontal="center" vertical="center"/>
    </xf>
    <xf numFmtId="164" fontId="1" fillId="4" borderId="13" xfId="0" applyNumberFormat="1" applyFont="1" applyFill="1" applyBorder="1" applyAlignment="1">
      <alignment horizontal="center" vertical="center"/>
    </xf>
    <xf numFmtId="165" fontId="1" fillId="4" borderId="13" xfId="0" applyNumberFormat="1" applyFont="1" applyFill="1" applyBorder="1" applyAlignment="1">
      <alignment horizontal="center" vertical="center"/>
    </xf>
    <xf numFmtId="166" fontId="1" fillId="4" borderId="13" xfId="0" applyNumberFormat="1" applyFont="1" applyFill="1" applyBorder="1" applyAlignment="1">
      <alignment horizontal="center" vertical="center"/>
    </xf>
    <xf numFmtId="167" fontId="1" fillId="4" borderId="13" xfId="0" applyNumberFormat="1" applyFont="1" applyFill="1" applyBorder="1" applyAlignment="1">
      <alignment horizontal="center" vertical="center"/>
    </xf>
    <xf numFmtId="173" fontId="1" fillId="4" borderId="23" xfId="0" applyNumberFormat="1" applyFont="1" applyFill="1" applyBorder="1" applyAlignment="1">
      <alignment horizontal="center" vertical="center"/>
    </xf>
    <xf numFmtId="165" fontId="1" fillId="4" borderId="18" xfId="0" applyNumberFormat="1" applyFont="1" applyFill="1" applyBorder="1" applyAlignment="1">
      <alignment horizontal="center" vertical="center"/>
    </xf>
    <xf numFmtId="175" fontId="1" fillId="6" borderId="26" xfId="0" applyNumberFormat="1" applyFont="1" applyFill="1" applyBorder="1" applyAlignment="1">
      <alignment horizontal="center" vertical="center"/>
    </xf>
    <xf numFmtId="168" fontId="1" fillId="6" borderId="26" xfId="0" applyNumberFormat="1" applyFont="1" applyFill="1" applyBorder="1" applyAlignment="1">
      <alignment horizontal="center" vertical="center"/>
    </xf>
    <xf numFmtId="169" fontId="1" fillId="6" borderId="26" xfId="0" applyNumberFormat="1" applyFont="1" applyFill="1" applyBorder="1" applyAlignment="1">
      <alignment horizontal="center" vertical="center"/>
    </xf>
    <xf numFmtId="170" fontId="1" fillId="6" borderId="26" xfId="0" applyNumberFormat="1" applyFont="1" applyFill="1" applyBorder="1" applyAlignment="1">
      <alignment horizontal="center" vertical="center"/>
    </xf>
    <xf numFmtId="176" fontId="1" fillId="6" borderId="27" xfId="0" applyNumberFormat="1" applyFont="1" applyFill="1" applyBorder="1" applyAlignment="1">
      <alignment horizontal="center" vertical="center"/>
    </xf>
    <xf numFmtId="171" fontId="1" fillId="7" borderId="6" xfId="0" applyNumberFormat="1" applyFont="1" applyFill="1" applyBorder="1" applyAlignment="1">
      <alignment horizontal="center" vertical="center"/>
    </xf>
    <xf numFmtId="164" fontId="1" fillId="7" borderId="7" xfId="0" applyNumberFormat="1" applyFont="1" applyFill="1" applyBorder="1" applyAlignment="1">
      <alignment horizontal="center" vertical="center"/>
    </xf>
    <xf numFmtId="177" fontId="1" fillId="7" borderId="7" xfId="0" applyNumberFormat="1" applyFont="1" applyFill="1" applyBorder="1" applyAlignment="1">
      <alignment horizontal="center" vertical="center"/>
    </xf>
    <xf numFmtId="169" fontId="1" fillId="7" borderId="7" xfId="0" applyNumberFormat="1" applyFont="1" applyFill="1" applyBorder="1" applyAlignment="1">
      <alignment horizontal="center" vertical="center"/>
    </xf>
    <xf numFmtId="167" fontId="1" fillId="7" borderId="7" xfId="0" applyNumberFormat="1" applyFont="1" applyFill="1" applyBorder="1" applyAlignment="1">
      <alignment horizontal="center" vertical="center"/>
    </xf>
    <xf numFmtId="173" fontId="1" fillId="7" borderId="21" xfId="0" applyNumberFormat="1" applyFont="1" applyFill="1" applyBorder="1" applyAlignment="1">
      <alignment horizontal="center" vertical="center"/>
    </xf>
    <xf numFmtId="165" fontId="1" fillId="7" borderId="7" xfId="0" applyNumberFormat="1" applyFont="1" applyFill="1" applyBorder="1" applyAlignment="1">
      <alignment horizontal="center" vertical="center"/>
    </xf>
    <xf numFmtId="166" fontId="1" fillId="7" borderId="7" xfId="0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170" fontId="1" fillId="7" borderId="7" xfId="0" applyNumberFormat="1" applyFont="1" applyFill="1" applyBorder="1" applyAlignment="1">
      <alignment horizontal="center" vertical="center"/>
    </xf>
    <xf numFmtId="176" fontId="1" fillId="7" borderId="2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FE2A8-63C2-4228-942C-888F21BF8B4B}">
  <dimension ref="B1:Q42"/>
  <sheetViews>
    <sheetView tabSelected="1" workbookViewId="0">
      <selection activeCell="B2" sqref="B2:H13"/>
    </sheetView>
  </sheetViews>
  <sheetFormatPr defaultRowHeight="14.4" x14ac:dyDescent="0.3"/>
  <cols>
    <col min="1" max="1" width="2.5546875" customWidth="1"/>
    <col min="2" max="2" width="24.44140625" bestFit="1" customWidth="1"/>
    <col min="3" max="3" width="12.77734375" style="4" customWidth="1"/>
    <col min="4" max="4" width="9.77734375" style="4" bestFit="1" customWidth="1"/>
    <col min="5" max="5" width="9.6640625" style="4" bestFit="1" customWidth="1"/>
    <col min="6" max="13" width="8.88671875" style="4"/>
    <col min="14" max="16" width="9.6640625" style="4" bestFit="1" customWidth="1"/>
    <col min="17" max="17" width="9.6640625" bestFit="1" customWidth="1"/>
  </cols>
  <sheetData>
    <row r="1" spans="2:17" ht="8.4" customHeight="1" thickBot="1" x14ac:dyDescent="0.35"/>
    <row r="2" spans="2:17" ht="26.4" thickBot="1" x14ac:dyDescent="0.35">
      <c r="B2" s="102" t="s">
        <v>17</v>
      </c>
      <c r="C2" s="103"/>
      <c r="D2" s="103"/>
      <c r="E2" s="103"/>
      <c r="F2" s="103"/>
      <c r="G2" s="103"/>
      <c r="H2" s="104"/>
    </row>
    <row r="3" spans="2:17" ht="5.4" customHeight="1" thickBot="1" x14ac:dyDescent="0.35"/>
    <row r="4" spans="2:17" s="2" customFormat="1" ht="16.8" customHeight="1" thickBot="1" x14ac:dyDescent="0.35">
      <c r="B4" s="21" t="s">
        <v>1</v>
      </c>
      <c r="C4" s="40" t="s">
        <v>30</v>
      </c>
      <c r="D4" s="105" t="s">
        <v>31</v>
      </c>
      <c r="E4" s="105"/>
      <c r="F4" s="105"/>
      <c r="G4" s="105"/>
      <c r="H4" s="105"/>
      <c r="L4" s="2" t="s">
        <v>2</v>
      </c>
      <c r="M4" s="2" t="s">
        <v>14</v>
      </c>
      <c r="N4" s="2" t="s">
        <v>15</v>
      </c>
      <c r="O4" s="2" t="s">
        <v>16</v>
      </c>
      <c r="P4" s="2" t="s">
        <v>6</v>
      </c>
      <c r="Q4" s="2" t="s">
        <v>29</v>
      </c>
    </row>
    <row r="5" spans="2:17" s="2" customFormat="1" ht="3.6" customHeight="1" thickBot="1" x14ac:dyDescent="0.35"/>
    <row r="6" spans="2:17" s="2" customFormat="1" ht="19.8" customHeight="1" thickBot="1" x14ac:dyDescent="0.35">
      <c r="B6" s="41" t="s">
        <v>12</v>
      </c>
      <c r="C6" s="97" t="s">
        <v>40</v>
      </c>
      <c r="D6" s="98" t="s">
        <v>3</v>
      </c>
      <c r="E6" s="99" t="s">
        <v>4</v>
      </c>
      <c r="F6" s="98" t="s">
        <v>5</v>
      </c>
      <c r="G6" s="100" t="s">
        <v>7</v>
      </c>
      <c r="H6" s="20" t="s">
        <v>29</v>
      </c>
      <c r="L6" s="2">
        <v>1</v>
      </c>
      <c r="M6" s="2">
        <v>0.01</v>
      </c>
      <c r="N6" s="38">
        <v>5.8E-4</v>
      </c>
      <c r="O6" s="38">
        <v>4.2999999999999999E-4</v>
      </c>
      <c r="P6" s="38">
        <v>5.0000000000000001E-4</v>
      </c>
      <c r="Q6" s="38">
        <v>8.8999999999999995E-4</v>
      </c>
    </row>
    <row r="7" spans="2:17" x14ac:dyDescent="0.3">
      <c r="B7" s="11" t="s">
        <v>0</v>
      </c>
      <c r="C7" s="16">
        <v>60000</v>
      </c>
      <c r="D7" s="8">
        <f>C7*$M$6</f>
        <v>600</v>
      </c>
      <c r="E7" s="9">
        <f>C7*$N$6</f>
        <v>34.799999999999997</v>
      </c>
      <c r="F7" s="10">
        <f>C7*$O$6</f>
        <v>25.8</v>
      </c>
      <c r="G7" s="29">
        <f>C7*$P$6</f>
        <v>30</v>
      </c>
      <c r="H7" s="34">
        <f>C7*$Q$6</f>
        <v>53.4</v>
      </c>
    </row>
    <row r="8" spans="2:17" x14ac:dyDescent="0.3">
      <c r="B8" s="11" t="s">
        <v>8</v>
      </c>
      <c r="C8" s="16">
        <v>30000</v>
      </c>
      <c r="D8" s="8">
        <f t="shared" ref="D8:D11" si="0">C8*$M$6</f>
        <v>300</v>
      </c>
      <c r="E8" s="9">
        <f t="shared" ref="E8:E11" si="1">C8*$N$6</f>
        <v>17.399999999999999</v>
      </c>
      <c r="F8" s="10">
        <f t="shared" ref="F8:F11" si="2">C8*$O$6</f>
        <v>12.9</v>
      </c>
      <c r="G8" s="30">
        <f t="shared" ref="G8:G11" si="3">C8*$P$6</f>
        <v>15</v>
      </c>
      <c r="H8" s="34">
        <f t="shared" ref="H8:H11" si="4">C8*$Q$6</f>
        <v>26.7</v>
      </c>
    </row>
    <row r="9" spans="2:17" x14ac:dyDescent="0.3">
      <c r="B9" s="11" t="s">
        <v>9</v>
      </c>
      <c r="C9" s="16">
        <v>5000</v>
      </c>
      <c r="D9" s="8">
        <f t="shared" si="0"/>
        <v>50</v>
      </c>
      <c r="E9" s="9">
        <f t="shared" si="1"/>
        <v>2.9</v>
      </c>
      <c r="F9" s="10">
        <f t="shared" si="2"/>
        <v>2.15</v>
      </c>
      <c r="G9" s="30">
        <f t="shared" si="3"/>
        <v>2.5</v>
      </c>
      <c r="H9" s="34">
        <f t="shared" si="4"/>
        <v>4.45</v>
      </c>
    </row>
    <row r="10" spans="2:17" x14ac:dyDescent="0.3">
      <c r="B10" s="11" t="s">
        <v>10</v>
      </c>
      <c r="C10" s="16">
        <v>20000</v>
      </c>
      <c r="D10" s="8">
        <f t="shared" si="0"/>
        <v>200</v>
      </c>
      <c r="E10" s="9">
        <f t="shared" si="1"/>
        <v>11.6</v>
      </c>
      <c r="F10" s="10">
        <f t="shared" si="2"/>
        <v>8.6</v>
      </c>
      <c r="G10" s="30">
        <f t="shared" si="3"/>
        <v>10</v>
      </c>
      <c r="H10" s="34">
        <f t="shared" si="4"/>
        <v>17.8</v>
      </c>
    </row>
    <row r="11" spans="2:17" ht="15" thickBot="1" x14ac:dyDescent="0.35">
      <c r="B11" s="12" t="s">
        <v>11</v>
      </c>
      <c r="C11" s="17">
        <v>15000</v>
      </c>
      <c r="D11" s="13">
        <f t="shared" si="0"/>
        <v>150</v>
      </c>
      <c r="E11" s="14">
        <f t="shared" si="1"/>
        <v>8.6999999999999993</v>
      </c>
      <c r="F11" s="15">
        <f t="shared" si="2"/>
        <v>6.45</v>
      </c>
      <c r="G11" s="31">
        <f t="shared" si="3"/>
        <v>7.5</v>
      </c>
      <c r="H11" s="35">
        <f t="shared" si="4"/>
        <v>13.35</v>
      </c>
    </row>
    <row r="12" spans="2:17" s="1" customFormat="1" x14ac:dyDescent="0.3">
      <c r="B12" s="3" t="s">
        <v>27</v>
      </c>
      <c r="C12" s="62">
        <f>SUM(C7:C11)</f>
        <v>130000</v>
      </c>
      <c r="D12" s="63">
        <f t="shared" ref="D12:G12" si="5">SUM(D7:D11)</f>
        <v>1300</v>
      </c>
      <c r="E12" s="64">
        <f t="shared" si="5"/>
        <v>75.399999999999991</v>
      </c>
      <c r="F12" s="65">
        <f t="shared" si="5"/>
        <v>55.900000000000006</v>
      </c>
      <c r="G12" s="66">
        <f t="shared" si="5"/>
        <v>65</v>
      </c>
      <c r="H12" s="67">
        <f t="shared" ref="H12" si="6">SUM(H7:H11)</f>
        <v>115.69999999999999</v>
      </c>
      <c r="I12" s="5"/>
      <c r="J12" s="5"/>
      <c r="K12" s="5"/>
      <c r="L12" s="5"/>
      <c r="M12" s="5"/>
      <c r="N12" s="5"/>
      <c r="O12" s="5"/>
      <c r="P12" s="5"/>
    </row>
    <row r="13" spans="2:17" s="1" customFormat="1" ht="15" thickBot="1" x14ac:dyDescent="0.35">
      <c r="B13" s="3" t="s">
        <v>19</v>
      </c>
      <c r="C13" s="44">
        <f t="shared" ref="C13:H13" si="7">C12*3</f>
        <v>390000</v>
      </c>
      <c r="D13" s="45">
        <f t="shared" si="7"/>
        <v>3900</v>
      </c>
      <c r="E13" s="78">
        <f t="shared" si="7"/>
        <v>226.2</v>
      </c>
      <c r="F13" s="47">
        <f t="shared" si="7"/>
        <v>167.70000000000002</v>
      </c>
      <c r="G13" s="48">
        <f t="shared" si="7"/>
        <v>195</v>
      </c>
      <c r="H13" s="49">
        <f t="shared" si="7"/>
        <v>347.09999999999997</v>
      </c>
      <c r="I13" s="5"/>
      <c r="J13" s="5"/>
      <c r="K13" s="5"/>
      <c r="L13" s="5"/>
      <c r="M13" s="5"/>
      <c r="N13" s="5"/>
      <c r="O13" s="5"/>
      <c r="P13" s="5"/>
    </row>
    <row r="14" spans="2:17" s="1" customFormat="1" x14ac:dyDescent="0.3">
      <c r="B14" s="3"/>
      <c r="C14" s="22"/>
      <c r="D14" s="23"/>
      <c r="E14" s="24"/>
      <c r="F14" s="25"/>
      <c r="G14" s="26"/>
      <c r="H14" s="26"/>
      <c r="I14" s="5"/>
      <c r="J14" s="5"/>
      <c r="K14" s="5"/>
      <c r="L14" s="5"/>
      <c r="M14" s="5"/>
      <c r="N14" s="5"/>
      <c r="O14" s="5"/>
      <c r="P14" s="5"/>
    </row>
    <row r="15" spans="2:17" ht="5.4" customHeight="1" thickBot="1" x14ac:dyDescent="0.35">
      <c r="D15" s="6"/>
      <c r="E15" s="7"/>
    </row>
    <row r="16" spans="2:17" s="2" customFormat="1" ht="19.8" customHeight="1" thickBot="1" x14ac:dyDescent="0.35">
      <c r="B16" s="41" t="s">
        <v>32</v>
      </c>
      <c r="C16" s="97" t="s">
        <v>40</v>
      </c>
      <c r="D16" s="98" t="s">
        <v>3</v>
      </c>
      <c r="E16" s="99" t="s">
        <v>4</v>
      </c>
      <c r="F16" s="98" t="s">
        <v>5</v>
      </c>
      <c r="G16" s="100" t="s">
        <v>7</v>
      </c>
      <c r="H16" s="20" t="s">
        <v>29</v>
      </c>
    </row>
    <row r="17" spans="2:16" x14ac:dyDescent="0.3">
      <c r="B17" s="11" t="s">
        <v>13</v>
      </c>
      <c r="C17" s="16">
        <v>5000</v>
      </c>
      <c r="D17" s="8">
        <f>C17*$M$6</f>
        <v>50</v>
      </c>
      <c r="E17" s="18">
        <f>C17*$N$6</f>
        <v>2.9</v>
      </c>
      <c r="F17" s="19">
        <f>C17*$O$6</f>
        <v>2.15</v>
      </c>
      <c r="G17" s="32">
        <f>C17*$P$6</f>
        <v>2.5</v>
      </c>
      <c r="H17" s="42">
        <f>C17*$Q$6</f>
        <v>4.45</v>
      </c>
    </row>
    <row r="18" spans="2:16" x14ac:dyDescent="0.3">
      <c r="B18" s="11" t="s">
        <v>18</v>
      </c>
      <c r="C18" s="16">
        <v>7500</v>
      </c>
      <c r="D18" s="8">
        <f t="shared" ref="D18:D24" si="8">C18*$M$6</f>
        <v>75</v>
      </c>
      <c r="E18" s="18">
        <f t="shared" ref="E18:E24" si="9">C18*$N$6</f>
        <v>4.3499999999999996</v>
      </c>
      <c r="F18" s="19">
        <f t="shared" ref="F18:F24" si="10">C18*$O$6</f>
        <v>3.2250000000000001</v>
      </c>
      <c r="G18" s="33">
        <f t="shared" ref="G18:G24" si="11">C18*$P$6</f>
        <v>3.75</v>
      </c>
      <c r="H18" s="42">
        <f t="shared" ref="H18:H24" si="12">C18*$Q$6</f>
        <v>6.6749999999999998</v>
      </c>
    </row>
    <row r="19" spans="2:16" x14ac:dyDescent="0.3">
      <c r="B19" s="11" t="s">
        <v>22</v>
      </c>
      <c r="C19" s="16">
        <v>4500</v>
      </c>
      <c r="D19" s="8">
        <f t="shared" si="8"/>
        <v>45</v>
      </c>
      <c r="E19" s="18">
        <f t="shared" si="9"/>
        <v>2.61</v>
      </c>
      <c r="F19" s="19">
        <f t="shared" si="10"/>
        <v>1.9350000000000001</v>
      </c>
      <c r="G19" s="33">
        <f t="shared" si="11"/>
        <v>2.25</v>
      </c>
      <c r="H19" s="42">
        <f t="shared" si="12"/>
        <v>4.0049999999999999</v>
      </c>
    </row>
    <row r="20" spans="2:16" x14ac:dyDescent="0.3">
      <c r="B20" s="11" t="s">
        <v>24</v>
      </c>
      <c r="C20" s="16">
        <v>4500</v>
      </c>
      <c r="D20" s="8">
        <f t="shared" si="8"/>
        <v>45</v>
      </c>
      <c r="E20" s="18">
        <f t="shared" si="9"/>
        <v>2.61</v>
      </c>
      <c r="F20" s="19">
        <f t="shared" si="10"/>
        <v>1.9350000000000001</v>
      </c>
      <c r="G20" s="33">
        <f t="shared" si="11"/>
        <v>2.25</v>
      </c>
      <c r="H20" s="42">
        <f t="shared" si="12"/>
        <v>4.0049999999999999</v>
      </c>
    </row>
    <row r="21" spans="2:16" x14ac:dyDescent="0.3">
      <c r="B21" s="11" t="s">
        <v>25</v>
      </c>
      <c r="C21" s="16">
        <v>2500</v>
      </c>
      <c r="D21" s="8">
        <f t="shared" si="8"/>
        <v>25</v>
      </c>
      <c r="E21" s="18">
        <f t="shared" si="9"/>
        <v>1.45</v>
      </c>
      <c r="F21" s="19">
        <f t="shared" si="10"/>
        <v>1.075</v>
      </c>
      <c r="G21" s="33">
        <f t="shared" si="11"/>
        <v>1.25</v>
      </c>
      <c r="H21" s="42">
        <f t="shared" si="12"/>
        <v>2.2250000000000001</v>
      </c>
    </row>
    <row r="22" spans="2:16" x14ac:dyDescent="0.3">
      <c r="B22" s="11" t="s">
        <v>26</v>
      </c>
      <c r="C22" s="16">
        <v>4000</v>
      </c>
      <c r="D22" s="8">
        <f t="shared" si="8"/>
        <v>40</v>
      </c>
      <c r="E22" s="18">
        <f t="shared" si="9"/>
        <v>2.3199999999999998</v>
      </c>
      <c r="F22" s="19">
        <f t="shared" si="10"/>
        <v>1.72</v>
      </c>
      <c r="G22" s="33">
        <f t="shared" si="11"/>
        <v>2</v>
      </c>
      <c r="H22" s="42">
        <f t="shared" si="12"/>
        <v>3.5599999999999996</v>
      </c>
    </row>
    <row r="23" spans="2:16" x14ac:dyDescent="0.3">
      <c r="B23" s="11" t="s">
        <v>21</v>
      </c>
      <c r="C23" s="16">
        <v>5000</v>
      </c>
      <c r="D23" s="8">
        <f t="shared" si="8"/>
        <v>50</v>
      </c>
      <c r="E23" s="18">
        <f t="shared" si="9"/>
        <v>2.9</v>
      </c>
      <c r="F23" s="19">
        <f t="shared" si="10"/>
        <v>2.15</v>
      </c>
      <c r="G23" s="33">
        <f t="shared" si="11"/>
        <v>2.5</v>
      </c>
      <c r="H23" s="42">
        <f t="shared" si="12"/>
        <v>4.45</v>
      </c>
    </row>
    <row r="24" spans="2:16" ht="15" thickBot="1" x14ac:dyDescent="0.35">
      <c r="B24" s="12" t="s">
        <v>23</v>
      </c>
      <c r="C24" s="16">
        <v>3000</v>
      </c>
      <c r="D24" s="8">
        <f t="shared" si="8"/>
        <v>30</v>
      </c>
      <c r="E24" s="18">
        <f t="shared" si="9"/>
        <v>1.74</v>
      </c>
      <c r="F24" s="19">
        <f t="shared" si="10"/>
        <v>1.29</v>
      </c>
      <c r="G24" s="33">
        <f t="shared" si="11"/>
        <v>1.5</v>
      </c>
      <c r="H24" s="42">
        <f t="shared" si="12"/>
        <v>2.67</v>
      </c>
    </row>
    <row r="25" spans="2:16" s="1" customFormat="1" x14ac:dyDescent="0.3">
      <c r="B25" s="3" t="s">
        <v>28</v>
      </c>
      <c r="C25" s="84">
        <f>SUM(C17:C24)</f>
        <v>36000</v>
      </c>
      <c r="D25" s="85">
        <f t="shared" ref="D25:G25" si="13">SUM(D17:D24)</f>
        <v>360</v>
      </c>
      <c r="E25" s="90">
        <f t="shared" si="13"/>
        <v>20.879999999999995</v>
      </c>
      <c r="F25" s="91">
        <f t="shared" si="13"/>
        <v>15.48</v>
      </c>
      <c r="G25" s="88">
        <f t="shared" si="13"/>
        <v>18</v>
      </c>
      <c r="H25" s="89">
        <f t="shared" ref="H25" si="14">SUM(H17:H24)</f>
        <v>32.04</v>
      </c>
      <c r="I25" s="5"/>
      <c r="J25" s="5"/>
      <c r="K25" s="5"/>
      <c r="L25" s="5"/>
      <c r="M25" s="5"/>
      <c r="N25" s="5"/>
      <c r="O25" s="5"/>
      <c r="P25" s="5"/>
    </row>
    <row r="26" spans="2:16" s="1" customFormat="1" x14ac:dyDescent="0.3">
      <c r="B26" s="3" t="s">
        <v>20</v>
      </c>
      <c r="C26" s="56">
        <f t="shared" ref="C26:H26" si="15">C25/30</f>
        <v>1200</v>
      </c>
      <c r="D26" s="79">
        <f t="shared" si="15"/>
        <v>12</v>
      </c>
      <c r="E26" s="80">
        <f t="shared" si="15"/>
        <v>0.69599999999999984</v>
      </c>
      <c r="F26" s="81">
        <f t="shared" si="15"/>
        <v>0.51600000000000001</v>
      </c>
      <c r="G26" s="82">
        <f t="shared" si="15"/>
        <v>0.6</v>
      </c>
      <c r="H26" s="83">
        <f t="shared" si="15"/>
        <v>1.0680000000000001</v>
      </c>
      <c r="I26" s="5"/>
      <c r="J26" s="5"/>
      <c r="K26" s="5"/>
      <c r="L26" s="5"/>
      <c r="M26" s="5"/>
      <c r="N26" s="5"/>
      <c r="O26" s="5"/>
      <c r="P26" s="5"/>
    </row>
    <row r="27" spans="2:16" s="1" customFormat="1" x14ac:dyDescent="0.3">
      <c r="B27" s="3" t="s">
        <v>27</v>
      </c>
      <c r="C27" s="27">
        <f>C25*4</f>
        <v>144000</v>
      </c>
      <c r="D27" s="28">
        <f t="shared" ref="D27:H27" si="16">D25*4</f>
        <v>1440</v>
      </c>
      <c r="E27" s="68">
        <f t="shared" si="16"/>
        <v>83.519999999999982</v>
      </c>
      <c r="F27" s="69">
        <f t="shared" si="16"/>
        <v>61.92</v>
      </c>
      <c r="G27" s="70">
        <f t="shared" si="16"/>
        <v>72</v>
      </c>
      <c r="H27" s="36">
        <f t="shared" si="16"/>
        <v>128.16</v>
      </c>
      <c r="I27" s="5"/>
      <c r="J27" s="5"/>
      <c r="K27" s="5"/>
      <c r="L27" s="5"/>
      <c r="M27" s="5"/>
      <c r="N27" s="5"/>
      <c r="O27" s="5"/>
      <c r="P27" s="5"/>
    </row>
    <row r="28" spans="2:16" s="1" customFormat="1" ht="15" thickBot="1" x14ac:dyDescent="0.35">
      <c r="B28" s="3" t="s">
        <v>19</v>
      </c>
      <c r="C28" s="72">
        <f>C27*3</f>
        <v>432000</v>
      </c>
      <c r="D28" s="73">
        <f t="shared" ref="D28:H28" si="17">D27*3</f>
        <v>4320</v>
      </c>
      <c r="E28" s="74">
        <f t="shared" si="17"/>
        <v>250.55999999999995</v>
      </c>
      <c r="F28" s="75">
        <f t="shared" si="17"/>
        <v>185.76</v>
      </c>
      <c r="G28" s="76">
        <f t="shared" si="17"/>
        <v>216</v>
      </c>
      <c r="H28" s="77">
        <f t="shared" si="17"/>
        <v>384.48</v>
      </c>
      <c r="I28" s="5"/>
      <c r="J28" s="5"/>
      <c r="K28" s="5"/>
      <c r="L28" s="5"/>
      <c r="M28" s="5"/>
      <c r="N28" s="5"/>
      <c r="O28" s="5"/>
      <c r="P28" s="5"/>
    </row>
    <row r="29" spans="2:16" ht="15" thickBot="1" x14ac:dyDescent="0.35">
      <c r="H29" s="37"/>
    </row>
    <row r="30" spans="2:16" s="2" customFormat="1" ht="19.8" customHeight="1" thickBot="1" x14ac:dyDescent="0.35">
      <c r="B30" s="101" t="s">
        <v>34</v>
      </c>
      <c r="C30" s="97" t="s">
        <v>40</v>
      </c>
      <c r="D30" s="98" t="s">
        <v>3</v>
      </c>
      <c r="E30" s="99" t="s">
        <v>4</v>
      </c>
      <c r="F30" s="98" t="s">
        <v>5</v>
      </c>
      <c r="G30" s="100" t="s">
        <v>7</v>
      </c>
      <c r="H30" s="20" t="s">
        <v>29</v>
      </c>
    </row>
    <row r="31" spans="2:16" ht="28.2" customHeight="1" x14ac:dyDescent="0.3">
      <c r="B31" s="50" t="s">
        <v>37</v>
      </c>
      <c r="C31" s="62">
        <f>C12</f>
        <v>130000</v>
      </c>
      <c r="D31" s="63">
        <f t="shared" ref="D31:H31" si="18">D12</f>
        <v>1300</v>
      </c>
      <c r="E31" s="71">
        <f t="shared" si="18"/>
        <v>75.399999999999991</v>
      </c>
      <c r="F31" s="65">
        <f t="shared" si="18"/>
        <v>55.900000000000006</v>
      </c>
      <c r="G31" s="66">
        <f t="shared" si="18"/>
        <v>65</v>
      </c>
      <c r="H31" s="67">
        <f t="shared" si="18"/>
        <v>115.69999999999999</v>
      </c>
    </row>
    <row r="32" spans="2:16" ht="28.2" customHeight="1" thickBot="1" x14ac:dyDescent="0.35">
      <c r="B32" s="43" t="s">
        <v>38</v>
      </c>
      <c r="C32" s="44">
        <f>C13</f>
        <v>390000</v>
      </c>
      <c r="D32" s="45">
        <f t="shared" ref="D32:H32" si="19">D13</f>
        <v>3900</v>
      </c>
      <c r="E32" s="46">
        <f t="shared" si="19"/>
        <v>226.2</v>
      </c>
      <c r="F32" s="47">
        <f t="shared" si="19"/>
        <v>167.70000000000002</v>
      </c>
      <c r="G32" s="48">
        <f t="shared" si="19"/>
        <v>195</v>
      </c>
      <c r="H32" s="49">
        <f t="shared" si="19"/>
        <v>347.09999999999997</v>
      </c>
    </row>
    <row r="33" spans="2:8" ht="15" thickBot="1" x14ac:dyDescent="0.35"/>
    <row r="34" spans="2:8" s="2" customFormat="1" ht="19.8" customHeight="1" thickBot="1" x14ac:dyDescent="0.35">
      <c r="B34" s="101" t="s">
        <v>33</v>
      </c>
      <c r="C34" s="97" t="s">
        <v>40</v>
      </c>
      <c r="D34" s="98" t="s">
        <v>3</v>
      </c>
      <c r="E34" s="99" t="s">
        <v>4</v>
      </c>
      <c r="F34" s="98" t="s">
        <v>5</v>
      </c>
      <c r="G34" s="100" t="s">
        <v>7</v>
      </c>
      <c r="H34" s="20" t="s">
        <v>29</v>
      </c>
    </row>
    <row r="35" spans="2:8" ht="28.2" customHeight="1" x14ac:dyDescent="0.3">
      <c r="B35" s="92" t="s">
        <v>35</v>
      </c>
      <c r="C35" s="84">
        <f>C26</f>
        <v>1200</v>
      </c>
      <c r="D35" s="85">
        <f t="shared" ref="D35:H35" si="20">D26</f>
        <v>12</v>
      </c>
      <c r="E35" s="86">
        <f t="shared" si="20"/>
        <v>0.69599999999999984</v>
      </c>
      <c r="F35" s="87">
        <f t="shared" si="20"/>
        <v>0.51600000000000001</v>
      </c>
      <c r="G35" s="95">
        <f t="shared" si="20"/>
        <v>0.6</v>
      </c>
      <c r="H35" s="96">
        <f t="shared" si="20"/>
        <v>1.0680000000000001</v>
      </c>
    </row>
    <row r="36" spans="2:8" ht="28.2" customHeight="1" x14ac:dyDescent="0.3">
      <c r="B36" s="93" t="s">
        <v>36</v>
      </c>
      <c r="C36" s="56">
        <f t="shared" ref="C36:H36" si="21">C25</f>
        <v>36000</v>
      </c>
      <c r="D36" s="57">
        <f t="shared" si="21"/>
        <v>360</v>
      </c>
      <c r="E36" s="58">
        <f t="shared" si="21"/>
        <v>20.879999999999995</v>
      </c>
      <c r="F36" s="59">
        <f t="shared" si="21"/>
        <v>15.48</v>
      </c>
      <c r="G36" s="60">
        <f t="shared" si="21"/>
        <v>18</v>
      </c>
      <c r="H36" s="61">
        <f t="shared" si="21"/>
        <v>32.04</v>
      </c>
    </row>
    <row r="37" spans="2:8" ht="28.2" customHeight="1" x14ac:dyDescent="0.3">
      <c r="B37" s="93" t="s">
        <v>37</v>
      </c>
      <c r="C37" s="39">
        <f>C27</f>
        <v>144000</v>
      </c>
      <c r="D37" s="51">
        <f t="shared" ref="D37:H37" si="22">D27</f>
        <v>1440</v>
      </c>
      <c r="E37" s="52">
        <f t="shared" si="22"/>
        <v>83.519999999999982</v>
      </c>
      <c r="F37" s="53">
        <f t="shared" si="22"/>
        <v>61.92</v>
      </c>
      <c r="G37" s="54">
        <f t="shared" si="22"/>
        <v>72</v>
      </c>
      <c r="H37" s="55">
        <f t="shared" si="22"/>
        <v>128.16</v>
      </c>
    </row>
    <row r="38" spans="2:8" ht="28.2" customHeight="1" thickBot="1" x14ac:dyDescent="0.35">
      <c r="B38" s="94" t="s">
        <v>38</v>
      </c>
      <c r="C38" s="44">
        <f>C28</f>
        <v>432000</v>
      </c>
      <c r="D38" s="45">
        <f t="shared" ref="D38:H38" si="23">D28</f>
        <v>4320</v>
      </c>
      <c r="E38" s="46">
        <f t="shared" si="23"/>
        <v>250.55999999999995</v>
      </c>
      <c r="F38" s="47">
        <f t="shared" si="23"/>
        <v>185.76</v>
      </c>
      <c r="G38" s="48">
        <f t="shared" si="23"/>
        <v>216</v>
      </c>
      <c r="H38" s="49">
        <f t="shared" si="23"/>
        <v>384.48</v>
      </c>
    </row>
    <row r="39" spans="2:8" ht="15" thickBot="1" x14ac:dyDescent="0.35"/>
    <row r="40" spans="2:8" s="2" customFormat="1" ht="19.8" customHeight="1" thickBot="1" x14ac:dyDescent="0.35">
      <c r="B40" s="101" t="s">
        <v>39</v>
      </c>
      <c r="C40" s="97" t="s">
        <v>40</v>
      </c>
      <c r="D40" s="98" t="s">
        <v>3</v>
      </c>
      <c r="E40" s="99" t="s">
        <v>4</v>
      </c>
      <c r="F40" s="98" t="s">
        <v>5</v>
      </c>
      <c r="G40" s="100" t="s">
        <v>7</v>
      </c>
      <c r="H40" s="20" t="s">
        <v>29</v>
      </c>
    </row>
    <row r="41" spans="2:8" ht="28.2" customHeight="1" x14ac:dyDescent="0.3">
      <c r="B41" s="50" t="s">
        <v>37</v>
      </c>
      <c r="C41" s="62">
        <f>C37+C31</f>
        <v>274000</v>
      </c>
      <c r="D41" s="63">
        <f t="shared" ref="D41:H41" si="24">D37+D31</f>
        <v>2740</v>
      </c>
      <c r="E41" s="71">
        <f t="shared" si="24"/>
        <v>158.91999999999996</v>
      </c>
      <c r="F41" s="65">
        <f t="shared" si="24"/>
        <v>117.82000000000001</v>
      </c>
      <c r="G41" s="66">
        <f t="shared" si="24"/>
        <v>137</v>
      </c>
      <c r="H41" s="67">
        <f t="shared" si="24"/>
        <v>243.85999999999999</v>
      </c>
    </row>
    <row r="42" spans="2:8" ht="28.2" customHeight="1" thickBot="1" x14ac:dyDescent="0.35">
      <c r="B42" s="43" t="s">
        <v>38</v>
      </c>
      <c r="C42" s="44">
        <f>C38+C32</f>
        <v>822000</v>
      </c>
      <c r="D42" s="45">
        <f t="shared" ref="D42:H42" si="25">D38+D32</f>
        <v>8220</v>
      </c>
      <c r="E42" s="46">
        <f t="shared" si="25"/>
        <v>476.75999999999993</v>
      </c>
      <c r="F42" s="47">
        <f t="shared" si="25"/>
        <v>353.46000000000004</v>
      </c>
      <c r="G42" s="48">
        <f t="shared" si="25"/>
        <v>411</v>
      </c>
      <c r="H42" s="49">
        <f t="shared" si="25"/>
        <v>731.57999999999993</v>
      </c>
    </row>
  </sheetData>
  <mergeCells count="2">
    <mergeCell ref="B2:H2"/>
    <mergeCell ref="D4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T</dc:creator>
  <cp:lastModifiedBy>Mike T</cp:lastModifiedBy>
  <cp:lastPrinted>2025-11-01T18:34:08Z</cp:lastPrinted>
  <dcterms:created xsi:type="dcterms:W3CDTF">2025-08-29T15:31:48Z</dcterms:created>
  <dcterms:modified xsi:type="dcterms:W3CDTF">2025-11-02T09:25:51Z</dcterms:modified>
</cp:coreProperties>
</file>